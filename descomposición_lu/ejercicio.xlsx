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Erick\OneDrive\Documents\UMSA\METODOS NUMERICOS\descomposición_lu\"/>
    </mc:Choice>
  </mc:AlternateContent>
  <bookViews>
    <workbookView xWindow="-120" yWindow="-120" windowWidth="20730" windowHeight="11160"/>
  </bookViews>
  <sheets>
    <sheet name="ejercicio 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6" i="1" l="1"/>
  <c r="F42" i="1" s="1"/>
  <c r="J35" i="1"/>
  <c r="D47" i="1"/>
  <c r="D48" i="1" s="1"/>
  <c r="F46" i="1"/>
  <c r="E46" i="1"/>
  <c r="D46" i="1"/>
  <c r="E35" i="1"/>
  <c r="E41" i="1" s="1"/>
  <c r="E47" i="1" s="1"/>
  <c r="E42" i="1" l="1"/>
  <c r="K36" i="1" s="1"/>
  <c r="F35" i="1"/>
  <c r="F41" i="1" s="1"/>
  <c r="F47" i="1" s="1"/>
  <c r="D35" i="1"/>
  <c r="D42" i="1"/>
  <c r="F48" i="1" l="1"/>
  <c r="I57" i="1" a="1"/>
  <c r="E48" i="1"/>
  <c r="D52" i="1" l="1" a="1"/>
  <c r="F54" i="1" s="1"/>
  <c r="I59" i="1"/>
  <c r="K57" i="1"/>
  <c r="K58" i="1"/>
  <c r="J57" i="1"/>
  <c r="K59" i="1"/>
  <c r="J58" i="1"/>
  <c r="I57" i="1"/>
  <c r="J59" i="1"/>
  <c r="I58" i="1"/>
  <c r="I62" i="1" a="1"/>
  <c r="E52" i="1" l="1"/>
  <c r="D58" i="1" a="1"/>
  <c r="D60" i="1" s="1"/>
  <c r="E54" i="1"/>
  <c r="D52" i="1"/>
  <c r="D54" i="1"/>
  <c r="E53" i="1"/>
  <c r="F52" i="1"/>
  <c r="F53" i="1"/>
  <c r="D53" i="1"/>
  <c r="K64" i="1"/>
  <c r="J63" i="1"/>
  <c r="I62" i="1"/>
  <c r="J64" i="1"/>
  <c r="I63" i="1"/>
  <c r="I64" i="1"/>
  <c r="K62" i="1"/>
  <c r="K63" i="1"/>
  <c r="J62" i="1"/>
  <c r="D59" i="1" l="1"/>
  <c r="D58" i="1"/>
  <c r="D62" i="1" l="1" a="1"/>
  <c r="D62" i="1" s="1"/>
  <c r="D63" i="1" l="1"/>
  <c r="D64" i="1"/>
</calcChain>
</file>

<file path=xl/sharedStrings.xml><?xml version="1.0" encoding="utf-8"?>
<sst xmlns="http://schemas.openxmlformats.org/spreadsheetml/2006/main" count="23" uniqueCount="23">
  <si>
    <t>a =</t>
  </si>
  <si>
    <t>b =</t>
  </si>
  <si>
    <t>a= u0</t>
  </si>
  <si>
    <t>-f21 *a1i + a2i</t>
  </si>
  <si>
    <t>u1=</t>
  </si>
  <si>
    <t>L0</t>
  </si>
  <si>
    <t>f21</t>
  </si>
  <si>
    <t>f31</t>
  </si>
  <si>
    <t>f32</t>
  </si>
  <si>
    <t>u2</t>
  </si>
  <si>
    <t>u3</t>
  </si>
  <si>
    <t>a= l* u</t>
  </si>
  <si>
    <t xml:space="preserve">L d =b </t>
  </si>
  <si>
    <t>inv(L) * b</t>
  </si>
  <si>
    <t>inv(L)</t>
  </si>
  <si>
    <t>U x = d</t>
  </si>
  <si>
    <t>inv(U)</t>
  </si>
  <si>
    <t>inv(u) *d</t>
  </si>
  <si>
    <t xml:space="preserve"> a=[ 10 2 -1;-3 -6 2;1 1 5]</t>
  </si>
  <si>
    <t xml:space="preserve">    10.0000   2.0000   -1.0000</t>
  </si>
  <si>
    <t xml:space="preserve">    -3.0000    -6.0000   2.0000</t>
  </si>
  <si>
    <t xml:space="preserve">    1.0000   1.0000   5.0000</t>
  </si>
  <si>
    <t>&gt;&gt; b=[27;-61.5;-21.5]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</si>
</sst>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4" fontId="0" fillId="0" borderId="0" xfId="0" applyNumberFormat="1"/>
    <xf numFmtId="3" fontId="0" fillId="3" borderId="0" xfId="0" applyNumberFormat="1" applyFill="1"/>
    <xf numFmtId="0" fontId="0" fillId="3" borderId="0" xfId="0" applyFill="1"/>
    <xf numFmtId="164" fontId="0" fillId="3" borderId="0" xfId="0" applyNumberFormat="1" applyFill="1"/>
    <xf numFmtId="0" fontId="0" fillId="0" borderId="0" xfId="0" quotePrefix="1"/>
    <xf numFmtId="0" fontId="0" fillId="0" borderId="0" xfId="0" applyAlignment="1">
      <alignment horizontal="right"/>
    </xf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295275</xdr:colOff>
      <xdr:row>0</xdr:row>
      <xdr:rowOff>114300</xdr:rowOff>
    </xdr:from>
    <xdr:to>
      <xdr:col>9</xdr:col>
      <xdr:colOff>352424</xdr:colOff>
      <xdr:row>11</xdr:row>
      <xdr:rowOff>152400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xmlns="" id="{4CF4923D-FE48-486A-8B7A-1ED6205A3EC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38402"/>
        <a:stretch/>
      </xdr:blipFill>
      <xdr:spPr>
        <a:xfrm>
          <a:off x="2581275" y="114300"/>
          <a:ext cx="4629149" cy="2133600"/>
        </a:xfrm>
        <a:prstGeom prst="rect">
          <a:avLst/>
        </a:prstGeom>
      </xdr:spPr>
    </xdr:pic>
    <xdr:clientData/>
  </xdr:twoCellAnchor>
  <xdr:twoCellAnchor editAs="oneCell">
    <xdr:from>
      <xdr:col>6</xdr:col>
      <xdr:colOff>695183</xdr:colOff>
      <xdr:row>33</xdr:row>
      <xdr:rowOff>142875</xdr:rowOff>
    </xdr:from>
    <xdr:to>
      <xdr:col>8</xdr:col>
      <xdr:colOff>166214</xdr:colOff>
      <xdr:row>35</xdr:row>
      <xdr:rowOff>189228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xmlns="" id="{A5CC1911-2D53-476A-BE7B-190F0715A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67183" y="4524375"/>
          <a:ext cx="995031" cy="427353"/>
        </a:xfrm>
        <a:prstGeom prst="rect">
          <a:avLst/>
        </a:prstGeom>
      </xdr:spPr>
    </xdr:pic>
    <xdr:clientData/>
  </xdr:twoCellAnchor>
  <xdr:twoCellAnchor editAs="oneCell">
    <xdr:from>
      <xdr:col>6</xdr:col>
      <xdr:colOff>635403</xdr:colOff>
      <xdr:row>38</xdr:row>
      <xdr:rowOff>183696</xdr:rowOff>
    </xdr:from>
    <xdr:to>
      <xdr:col>8</xdr:col>
      <xdr:colOff>213833</xdr:colOff>
      <xdr:row>47</xdr:row>
      <xdr:rowOff>31581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xmlns="" id="{3C02E911-32EF-481B-B6A9-34FEFCB811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07403" y="5517696"/>
          <a:ext cx="1102430" cy="15623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4:L64"/>
  <sheetViews>
    <sheetView tabSelected="1" topLeftCell="A19" workbookViewId="0">
      <selection activeCell="N14" sqref="N14:N23"/>
    </sheetView>
  </sheetViews>
  <sheetFormatPr baseColWidth="10" defaultRowHeight="15" x14ac:dyDescent="0.25"/>
  <sheetData>
    <row r="14" spans="4:4" x14ac:dyDescent="0.25">
      <c r="D14" t="s">
        <v>18</v>
      </c>
    </row>
    <row r="15" spans="4:4" x14ac:dyDescent="0.25">
      <c r="D15" t="s">
        <v>0</v>
      </c>
    </row>
    <row r="17" spans="2:10" x14ac:dyDescent="0.25">
      <c r="D17" s="1" t="s">
        <v>19</v>
      </c>
      <c r="E17" s="1"/>
      <c r="F17" s="1"/>
    </row>
    <row r="18" spans="2:10" x14ac:dyDescent="0.25">
      <c r="D18" s="1" t="s">
        <v>20</v>
      </c>
      <c r="E18" s="1"/>
      <c r="F18" s="1"/>
    </row>
    <row r="19" spans="2:10" x14ac:dyDescent="0.25">
      <c r="D19" s="1" t="s">
        <v>21</v>
      </c>
      <c r="E19" s="1"/>
      <c r="F19" s="1"/>
    </row>
    <row r="21" spans="2:10" x14ac:dyDescent="0.25">
      <c r="D21" t="s">
        <v>22</v>
      </c>
    </row>
    <row r="22" spans="2:10" x14ac:dyDescent="0.25">
      <c r="D22" t="s">
        <v>1</v>
      </c>
    </row>
    <row r="24" spans="2:10" x14ac:dyDescent="0.25">
      <c r="D24" s="2">
        <v>27</v>
      </c>
    </row>
    <row r="25" spans="2:10" x14ac:dyDescent="0.25">
      <c r="D25" s="2">
        <v>-61.5</v>
      </c>
    </row>
    <row r="26" spans="2:10" x14ac:dyDescent="0.25">
      <c r="D26" s="2">
        <v>-21.5</v>
      </c>
    </row>
    <row r="29" spans="2:10" x14ac:dyDescent="0.25">
      <c r="D29" s="3">
        <v>10</v>
      </c>
      <c r="E29" s="4">
        <v>2</v>
      </c>
      <c r="F29" s="4">
        <v>-1</v>
      </c>
    </row>
    <row r="30" spans="2:10" x14ac:dyDescent="0.25">
      <c r="B30" t="s">
        <v>2</v>
      </c>
      <c r="D30" s="5">
        <v>-3</v>
      </c>
      <c r="E30" s="4">
        <v>-6</v>
      </c>
      <c r="F30" s="4">
        <v>2</v>
      </c>
      <c r="J30" s="6" t="s">
        <v>3</v>
      </c>
    </row>
    <row r="31" spans="2:10" x14ac:dyDescent="0.25">
      <c r="D31" s="4">
        <v>1</v>
      </c>
      <c r="E31" s="4">
        <v>1</v>
      </c>
      <c r="F31" s="4">
        <v>5</v>
      </c>
    </row>
    <row r="34" spans="2:12" x14ac:dyDescent="0.25">
      <c r="B34" t="s">
        <v>4</v>
      </c>
      <c r="D34" s="1">
        <v>10</v>
      </c>
      <c r="E34" s="1">
        <v>2</v>
      </c>
      <c r="F34" s="1">
        <v>-1</v>
      </c>
      <c r="I34" s="7" t="s">
        <v>5</v>
      </c>
      <c r="J34" s="1">
        <v>1</v>
      </c>
      <c r="K34" s="1">
        <v>0</v>
      </c>
      <c r="L34" s="1">
        <v>0</v>
      </c>
    </row>
    <row r="35" spans="2:12" x14ac:dyDescent="0.25">
      <c r="D35" s="1">
        <f>+-J35*D34+D30</f>
        <v>0</v>
      </c>
      <c r="E35" s="1">
        <f>+-J35*E29+E30</f>
        <v>-5.4</v>
      </c>
      <c r="F35" s="1">
        <f>+-J35*F29+F30</f>
        <v>1.7</v>
      </c>
      <c r="J35" s="8">
        <f>+D30/D29</f>
        <v>-0.3</v>
      </c>
      <c r="K35" s="1">
        <v>1</v>
      </c>
      <c r="L35" s="1">
        <v>0</v>
      </c>
    </row>
    <row r="36" spans="2:12" x14ac:dyDescent="0.25">
      <c r="D36" s="1">
        <v>1</v>
      </c>
      <c r="E36" s="1">
        <v>1</v>
      </c>
      <c r="F36" s="1">
        <v>5</v>
      </c>
      <c r="J36" s="8">
        <f>+D36/D34</f>
        <v>0.1</v>
      </c>
      <c r="K36" s="8">
        <f>+E42/E41</f>
        <v>-0.14814814814814814</v>
      </c>
      <c r="L36" s="1">
        <v>1</v>
      </c>
    </row>
    <row r="38" spans="2:12" x14ac:dyDescent="0.25">
      <c r="J38" s="9">
        <v>1</v>
      </c>
      <c r="K38" s="9">
        <v>0</v>
      </c>
      <c r="L38" s="9">
        <v>0</v>
      </c>
    </row>
    <row r="39" spans="2:12" x14ac:dyDescent="0.25">
      <c r="J39" s="9" t="s">
        <v>6</v>
      </c>
      <c r="K39" s="9">
        <v>1</v>
      </c>
      <c r="L39" s="9">
        <v>0</v>
      </c>
    </row>
    <row r="40" spans="2:12" x14ac:dyDescent="0.25">
      <c r="D40" s="1">
        <v>10</v>
      </c>
      <c r="E40" s="1">
        <v>2</v>
      </c>
      <c r="F40" s="1">
        <v>-1</v>
      </c>
      <c r="J40" s="9" t="s">
        <v>7</v>
      </c>
      <c r="K40" s="9" t="s">
        <v>8</v>
      </c>
      <c r="L40" s="9">
        <v>1</v>
      </c>
    </row>
    <row r="41" spans="2:12" x14ac:dyDescent="0.25">
      <c r="B41" t="s">
        <v>9</v>
      </c>
      <c r="D41" s="1">
        <v>0</v>
      </c>
      <c r="E41" s="1">
        <f>+E35</f>
        <v>-5.4</v>
      </c>
      <c r="F41" s="1">
        <f>+F35</f>
        <v>1.7</v>
      </c>
    </row>
    <row r="42" spans="2:12" x14ac:dyDescent="0.25">
      <c r="D42" s="1">
        <f>+-J36*D29+D31</f>
        <v>0</v>
      </c>
      <c r="E42" s="1">
        <f>+-J36*E34+E36</f>
        <v>0.8</v>
      </c>
      <c r="F42" s="1">
        <f>+-J36*F34+F36</f>
        <v>5.0999999999999996</v>
      </c>
    </row>
    <row r="46" spans="2:12" x14ac:dyDescent="0.25">
      <c r="B46" t="s">
        <v>10</v>
      </c>
      <c r="D46" s="1">
        <f>+D40</f>
        <v>10</v>
      </c>
      <c r="E46" s="1">
        <f t="shared" ref="E46:F47" si="0">+E40</f>
        <v>2</v>
      </c>
      <c r="F46" s="1">
        <f t="shared" si="0"/>
        <v>-1</v>
      </c>
    </row>
    <row r="47" spans="2:12" x14ac:dyDescent="0.25">
      <c r="D47" s="1">
        <f>+D41</f>
        <v>0</v>
      </c>
      <c r="E47" s="1">
        <f t="shared" si="0"/>
        <v>-5.4</v>
      </c>
      <c r="F47" s="1">
        <f t="shared" si="0"/>
        <v>1.7</v>
      </c>
    </row>
    <row r="48" spans="2:12" x14ac:dyDescent="0.25">
      <c r="D48" s="1">
        <f>+D47</f>
        <v>0</v>
      </c>
      <c r="E48" s="1">
        <f>+-K36*E41+E42</f>
        <v>0</v>
      </c>
      <c r="F48" s="1">
        <f>+-K36*F41+F42</f>
        <v>5.3518518518518512</v>
      </c>
    </row>
    <row r="52" spans="2:11" x14ac:dyDescent="0.25">
      <c r="B52" t="s">
        <v>11</v>
      </c>
      <c r="D52" s="1">
        <f t="array" ref="D52:F54">+MMULT(J34:L36,D46:F48)</f>
        <v>10</v>
      </c>
      <c r="E52" s="1">
        <v>2</v>
      </c>
      <c r="F52" s="1">
        <v>-1</v>
      </c>
    </row>
    <row r="53" spans="2:11" x14ac:dyDescent="0.25">
      <c r="D53" s="1">
        <v>-3</v>
      </c>
      <c r="E53" s="1">
        <v>-6</v>
      </c>
      <c r="F53" s="1">
        <v>2</v>
      </c>
    </row>
    <row r="54" spans="2:11" x14ac:dyDescent="0.25">
      <c r="D54" s="1">
        <v>1</v>
      </c>
      <c r="E54" s="1">
        <v>1</v>
      </c>
      <c r="F54" s="1">
        <v>4.9999999999999991</v>
      </c>
    </row>
    <row r="57" spans="2:11" x14ac:dyDescent="0.25">
      <c r="B57" s="1"/>
      <c r="I57">
        <f t="array" ref="I57:K59">+MINVERSE(J34:L36)</f>
        <v>1</v>
      </c>
      <c r="J57">
        <v>0</v>
      </c>
      <c r="K57">
        <v>0</v>
      </c>
    </row>
    <row r="58" spans="2:11" x14ac:dyDescent="0.25">
      <c r="B58" s="1" t="s">
        <v>12</v>
      </c>
      <c r="D58">
        <f t="array" ref="D58:D60">+MMULT(I57:K59,D24:D26)</f>
        <v>27</v>
      </c>
      <c r="F58" t="s">
        <v>13</v>
      </c>
      <c r="H58" t="s">
        <v>14</v>
      </c>
      <c r="I58">
        <v>0.3</v>
      </c>
      <c r="J58">
        <v>1</v>
      </c>
      <c r="K58">
        <v>0</v>
      </c>
    </row>
    <row r="59" spans="2:11" x14ac:dyDescent="0.25">
      <c r="B59" s="1"/>
      <c r="D59">
        <v>-53.4</v>
      </c>
      <c r="I59">
        <v>-5.5555555555555566E-2</v>
      </c>
      <c r="J59">
        <v>0.14814814814814814</v>
      </c>
      <c r="K59">
        <v>1</v>
      </c>
    </row>
    <row r="60" spans="2:11" x14ac:dyDescent="0.25">
      <c r="B60" s="1"/>
      <c r="D60">
        <v>-32.111111111111114</v>
      </c>
    </row>
    <row r="61" spans="2:11" x14ac:dyDescent="0.25">
      <c r="B61" s="1"/>
    </row>
    <row r="62" spans="2:11" x14ac:dyDescent="0.25">
      <c r="B62" s="1" t="s">
        <v>15</v>
      </c>
      <c r="D62" s="1">
        <f t="array" ref="D62:D64">+MMULT(I62:K64,D58:D60)</f>
        <v>0.50000000000000022</v>
      </c>
      <c r="H62" t="s">
        <v>16</v>
      </c>
      <c r="I62">
        <f t="array" ref="I62:K64">+MINVERSE(D46:F48)</f>
        <v>0.1</v>
      </c>
      <c r="J62">
        <v>3.7037037037037035E-2</v>
      </c>
      <c r="K62">
        <v>6.9204152249134968E-3</v>
      </c>
    </row>
    <row r="63" spans="2:11" x14ac:dyDescent="0.25">
      <c r="B63" s="1"/>
      <c r="D63" s="1">
        <v>7.9999999999999982</v>
      </c>
      <c r="F63" t="s">
        <v>17</v>
      </c>
      <c r="I63">
        <v>0</v>
      </c>
      <c r="J63">
        <v>-0.18518518518518517</v>
      </c>
      <c r="K63">
        <v>5.8823529411764712E-2</v>
      </c>
    </row>
    <row r="64" spans="2:11" x14ac:dyDescent="0.25">
      <c r="B64" s="1"/>
      <c r="D64" s="1">
        <v>-6.0000000000000018</v>
      </c>
      <c r="I64">
        <v>0</v>
      </c>
      <c r="J64">
        <v>0</v>
      </c>
      <c r="K64">
        <v>0.18685121107266439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ejercicio 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BERNARDO</dc:creator>
  <cp:lastModifiedBy>Erick Poma</cp:lastModifiedBy>
  <dcterms:created xsi:type="dcterms:W3CDTF">2026-03-26T15:02:19Z</dcterms:created>
  <dcterms:modified xsi:type="dcterms:W3CDTF">2026-03-26T15:52:53Z</dcterms:modified>
</cp:coreProperties>
</file>